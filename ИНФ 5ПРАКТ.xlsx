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КМ 231\"/>
    </mc:Choice>
  </mc:AlternateContent>
  <bookViews>
    <workbookView xWindow="0" yWindow="0" windowWidth="25770" windowHeight="17700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E1" i="2" l="1"/>
  <c r="E2" i="2" s="1"/>
  <c r="E3" i="2" s="1"/>
  <c r="Z8" i="1"/>
  <c r="X8" i="1"/>
  <c r="I8" i="1"/>
  <c r="G8" i="1"/>
  <c r="H8" i="1" s="1"/>
  <c r="F8" i="1"/>
  <c r="AA7" i="1"/>
  <c r="Z7" i="1"/>
  <c r="X7" i="1"/>
  <c r="I7" i="1"/>
  <c r="G7" i="1"/>
  <c r="H7" i="1" s="1"/>
  <c r="F7" i="1"/>
  <c r="AA6" i="1"/>
  <c r="Z6" i="1"/>
  <c r="X6" i="1"/>
  <c r="I6" i="1"/>
  <c r="G6" i="1"/>
  <c r="H6" i="1" s="1"/>
  <c r="F6" i="1"/>
  <c r="AA5" i="1"/>
  <c r="Z5" i="1"/>
  <c r="X5" i="1"/>
  <c r="I5" i="1"/>
  <c r="G5" i="1"/>
  <c r="H5" i="1" s="1"/>
  <c r="F5" i="1"/>
  <c r="AA4" i="1"/>
  <c r="Z4" i="1"/>
  <c r="X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<sst xmlns="http://schemas.openxmlformats.org/spreadsheetml/2006/main" count="26" uniqueCount="26">
  <si>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</si>
  <si>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</si>
  <si>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</si>
  <si>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</si>
  <si>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</si>
  <si>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</si>
  <si>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</si>
  <si>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</si>
  <si>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- 3|</t>
  </si>
  <si>
    <t>Норма массы (кг)</t>
  </si>
  <si>
    <t>№ п/п</t>
  </si>
  <si>
    <t>Длина дуги</t>
  </si>
  <si>
    <t>Дуга через РАДИАНЫ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</si>
  <si>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</si>
  <si>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</si>
  <si>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</si>
  <si>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</si>
  <si>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</si>
  <si>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</si>
  <si>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</si>
  <si>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Сумма кредита</t>
  </si>
  <si>
    <t>Ежемесячный платеж</t>
  </si>
  <si>
    <t>Годовая ставка</t>
  </si>
  <si>
    <t>Общая сумма выплат</t>
  </si>
  <si>
    <t>Срок (лет)</t>
  </si>
  <si>
    <t>Переплата по процентам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</si>
</sst>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3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workbookViewId="0"/>
  </sheetViews>
  <sheetFormatPr defaultRowHeight="15" x14ac:dyDescent="0.25"/>
  <cols>
    <col min="1" max="1" width="12" customWidth="1"/>
    <col min="2" max="3" width="16" customWidth="1"/>
    <col min="4" max="6" width="15" customWidth="1"/>
    <col min="7" max="7" width="23" customWidth="1"/>
    <col min="8" max="8" width="12" customWidth="1"/>
    <col min="9" max="9" width="16" customWidth="1"/>
    <col min="10" max="11" width="12" customWidth="1"/>
    <col min="12" max="12" width="19" customWidth="1"/>
    <col min="13" max="23" width="12" customWidth="1"/>
    <col min="24" max="24" width="20" customWidth="1"/>
    <col min="25" max="25" width="12" customWidth="1"/>
    <col min="26" max="26" width="21" customWidth="1"/>
    <col min="27" max="27" width="38" customWidth="1"/>
    <col min="28" max="28" width="28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>
        <v>3</v>
      </c>
      <c r="L1" t="s">
        <v>9</v>
      </c>
      <c r="N1" t="s">
        <v>10</v>
      </c>
      <c r="X1" s="1" t="s">
        <v>11</v>
      </c>
      <c r="Y1">
        <v>60</v>
      </c>
      <c r="Z1" s="1" t="s">
        <v>12</v>
      </c>
      <c r="AA1">
        <f>SUM(D2:D8)</f>
        <v>21.799999999999997</v>
      </c>
      <c r="AB1" t="s">
        <v>13</v>
      </c>
    </row>
    <row r="2" spans="1:28" x14ac:dyDescent="0.25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N2">
        <v>1</v>
      </c>
      <c r="X2" s="3">
        <f t="shared" ref="X2:X8" si="4">PI()*B2*$Y$1/180</f>
        <v>13.089969389957471</v>
      </c>
      <c r="Z2" s="3">
        <f t="shared" ref="Z2:Z8" si="5">B2*RADIANS($Y$1)</f>
        <v>13.089969389957471</v>
      </c>
      <c r="AA2">
        <f>SUMIF(D2:D8,"&gt;2")</f>
        <v>18.100000000000001</v>
      </c>
      <c r="AB2" t="s">
        <v>14</v>
      </c>
    </row>
    <row r="3" spans="1:28" x14ac:dyDescent="0.25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N3">
        <v>2</v>
      </c>
      <c r="X3" s="3">
        <f t="shared" si="4"/>
        <v>8.6917396749317621</v>
      </c>
      <c r="Z3" s="3">
        <f t="shared" si="5"/>
        <v>8.6917396749317604</v>
      </c>
      <c r="AA3">
        <f>SUMPRODUCT(D2:D8,E2:E8)/SUM(E2:E8)</f>
        <v>4.0744612928970474</v>
      </c>
      <c r="AB3" t="s">
        <v>15</v>
      </c>
    </row>
    <row r="4" spans="1:28" x14ac:dyDescent="0.25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N4">
        <v>3</v>
      </c>
      <c r="X4" s="3">
        <f t="shared" si="4"/>
        <v>16.441001553786581</v>
      </c>
      <c r="Z4" s="3">
        <f t="shared" si="5"/>
        <v>16.441001553786581</v>
      </c>
      <c r="AA4">
        <f>COUNTIF(D2:D8,"&gt;2")</f>
        <v>4</v>
      </c>
      <c r="AB4" t="s">
        <v>16</v>
      </c>
    </row>
    <row r="5" spans="1:28" x14ac:dyDescent="0.25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N5">
        <v>4</v>
      </c>
      <c r="X5" s="3">
        <f t="shared" si="4"/>
        <v>6.4926248174189052</v>
      </c>
      <c r="Z5" s="3">
        <f t="shared" si="5"/>
        <v>6.4926248174189052</v>
      </c>
      <c r="AA5">
        <f>AVERAGE(D2:D8)</f>
        <v>3.1142857142857139</v>
      </c>
      <c r="AB5" t="s">
        <v>17</v>
      </c>
    </row>
    <row r="6" spans="1:28" x14ac:dyDescent="0.25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N6">
        <v>5</v>
      </c>
      <c r="X6" s="3">
        <f t="shared" si="4"/>
        <v>21.048670779051616</v>
      </c>
      <c r="Z6" s="3">
        <f t="shared" si="5"/>
        <v>21.048670779051612</v>
      </c>
      <c r="AA6">
        <f>MAX(D2:D8)</f>
        <v>6.5</v>
      </c>
      <c r="AB6" t="s">
        <v>18</v>
      </c>
    </row>
    <row r="7" spans="1:28" x14ac:dyDescent="0.25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N7">
        <v>6</v>
      </c>
      <c r="X7" s="3">
        <f t="shared" si="4"/>
        <v>10.890854532444616</v>
      </c>
      <c r="Z7" s="3">
        <f t="shared" si="5"/>
        <v>10.890854532444616</v>
      </c>
      <c r="AA7">
        <f>MIN(D2:D8)</f>
        <v>0.7</v>
      </c>
      <c r="AB7" t="s">
        <v>19</v>
      </c>
    </row>
    <row r="8" spans="1:28" x14ac:dyDescent="0.25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N8">
        <v>7</v>
      </c>
      <c r="X8" s="3">
        <f t="shared" si="4"/>
        <v>19.792033717615695</v>
      </c>
      <c r="Z8" s="3">
        <f t="shared" si="5"/>
        <v>19.792033717615695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25" customWidth="1"/>
    <col min="5" max="5" width="26" customWidth="1"/>
  </cols>
  <sheetData>
    <row r="1" spans="1:5" x14ac:dyDescent="0.25">
      <c r="A1" s="4">
        <v>500000</v>
      </c>
      <c r="B1" t="s">
        <v>20</v>
      </c>
      <c r="D1" t="s">
        <v>21</v>
      </c>
      <c r="E1" s="5">
        <f>PMT(A2/12, A3*12, -A1)</f>
        <v>18076.197767958416</v>
      </c>
    </row>
    <row r="2" spans="1:5" x14ac:dyDescent="0.25">
      <c r="A2" s="6">
        <v>0.18</v>
      </c>
      <c r="B2" t="s">
        <v>22</v>
      </c>
      <c r="D2" t="s">
        <v>23</v>
      </c>
      <c r="E2" s="5">
        <f>E1*A3*12</f>
        <v>650743.11964650301</v>
      </c>
    </row>
    <row r="3" spans="1:5" x14ac:dyDescent="0.25">
      <c r="A3">
        <v>3</v>
      </c>
      <c r="B3" t="s">
        <v>24</v>
      </c>
      <c r="D3" t="s">
        <v>25</v>
      </c>
      <c r="E3" s="5">
        <f>E2-A1</f>
        <v>150743.11964650301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2026-10-07T10:30:16Z</dcterms:created>
  <dcterms:modified xsi:type="dcterms:W3CDTF">2026-10-07T10:32:50Z</dcterms:modified>
</cp:coreProperties>
</file>